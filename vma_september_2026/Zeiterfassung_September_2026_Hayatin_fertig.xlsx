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abelle1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[h]:mm"/>
    <numFmt numFmtId="165" formatCode="0,00"/>
  </numFmts>
  <fonts count="7">
    <font>
      <name val="Calibri"/>
      <color theme="1"/>
      <sz val="12"/>
    </font>
    <font>
      <name val="Calibri"/>
      <color theme="1"/>
      <sz val="14"/>
    </font>
    <font>
      <name val="Calibri"/>
      <color theme="1"/>
      <sz val="18"/>
    </font>
    <font>
      <name val="Calibri"/>
      <b val="1"/>
      <color theme="1"/>
      <sz val="14"/>
    </font>
    <font>
      <name val="Calibri"/>
      <b val="1"/>
      <color theme="1"/>
      <sz val="12"/>
    </font>
    <font>
      <name val="Calibri"/>
      <b val="1"/>
      <sz val="12"/>
    </font>
    <font>
      <name val="Calibri"/>
      <i val="1"/>
      <sz val="9"/>
    </font>
  </fonts>
  <fills count="4">
    <fill>
      <patternFill/>
    </fill>
    <fill>
      <patternFill patternType="gray125"/>
    </fill>
    <fill>
      <patternFill patternType="solid">
        <fgColor rgb="FFD9E2F3"/>
      </patternFill>
    </fill>
    <fill>
      <patternFill patternType="solid">
        <fgColor rgb="FFFFF2CC"/>
      </patternFill>
    </fill>
  </fills>
  <borders count="23">
    <border/>
    <border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bottom style="thin">
        <color indexed="64"/>
      </bottom>
    </border>
    <border/>
    <border>
      <left style="thin">
        <color indexed="64"/>
      </left>
    </border>
    <border>
      <right style="thin">
        <color indexed="64"/>
      </right>
    </border>
    <border>
      <left style="thin">
        <color indexed="64"/>
      </left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top style="thin">
        <color indexed="64"/>
      </top>
    </border>
    <border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</borders>
  <cellStyleXfs count="1">
    <xf numFmtId="0" fontId="0" fillId="0" borderId="11"/>
  </cellStyleXfs>
  <cellXfs count="98">
    <xf numFmtId="0" fontId="0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2" fontId="0" fillId="0" borderId="2" pivotButton="0" quotePrefix="0" xfId="0"/>
    <xf numFmtId="1" fontId="4" fillId="0" borderId="2" pivotButton="0" quotePrefix="0" xfId="0"/>
    <xf numFmtId="2" fontId="4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5" fillId="2" borderId="0" applyAlignment="1" pivotButton="0" quotePrefix="0" xfId="0">
      <alignment horizontal="center"/>
    </xf>
    <xf numFmtId="1" fontId="5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0" pivotButton="0" quotePrefix="0" xfId="0"/>
    <xf numFmtId="0" fontId="1" fillId="0" borderId="9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1" pivotButton="0" quotePrefix="0" xfId="0"/>
    <xf numFmtId="0" fontId="0" fillId="0" borderId="3" applyAlignment="1" pivotButton="0" quotePrefix="0" xfId="0">
      <alignment horizontal="left"/>
    </xf>
    <xf numFmtId="0" fontId="0" fillId="0" borderId="2" pivotButton="0" quotePrefix="0" xfId="0"/>
    <xf numFmtId="0" fontId="0" fillId="0" borderId="11" pivotButton="0" quotePrefix="0" xfId="0"/>
    <xf numFmtId="0" fontId="2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3" fillId="0" borderId="16" pivotButton="0" quotePrefix="0" xfId="0"/>
    <xf numFmtId="0" fontId="3" fillId="0" borderId="16" applyAlignment="1" pivotButton="0" quotePrefix="0" xfId="0">
      <alignment horizontal="right"/>
    </xf>
    <xf numFmtId="2" fontId="0" fillId="0" borderId="16" pivotButton="0" quotePrefix="0" xfId="0"/>
    <xf numFmtId="1" fontId="4" fillId="0" borderId="16" pivotButton="0" quotePrefix="0" xfId="0"/>
    <xf numFmtId="2" fontId="4" fillId="0" borderId="16" pivotButton="0" quotePrefix="0" xfId="0"/>
    <xf numFmtId="164" fontId="0" fillId="0" borderId="16" pivotButton="0" quotePrefix="0" xfId="0"/>
    <xf numFmtId="0" fontId="0" fillId="0" borderId="17" pivotButton="0" quotePrefix="0" xfId="0"/>
    <xf numFmtId="0" fontId="1" fillId="0" borderId="16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6" pivotButton="0" quotePrefix="0" xfId="0"/>
    <xf numFmtId="0" fontId="5" fillId="2" borderId="11" applyAlignment="1" pivotButton="0" quotePrefix="0" xfId="0">
      <alignment horizontal="center"/>
    </xf>
    <xf numFmtId="1" fontId="5" fillId="3" borderId="11" applyAlignment="1" pivotButton="0" quotePrefix="0" xfId="0">
      <alignment horizontal="center"/>
    </xf>
    <xf numFmtId="0" fontId="6" fillId="0" borderId="11" applyAlignment="1" pivotButton="0" quotePrefix="0" xfId="0">
      <alignment horizontal="left"/>
    </xf>
    <xf numFmtId="0" fontId="0" fillId="0" borderId="11" applyAlignment="1" pivotButton="0" quotePrefix="0" xfId="0">
      <alignment horizontal="left"/>
    </xf>
    <xf numFmtId="0" fontId="0" fillId="0" borderId="19" pivotButton="0" quotePrefix="0" xfId="0"/>
    <xf numFmtId="0" fontId="1" fillId="0" borderId="20" applyAlignment="1" pivotButton="0" quotePrefix="0" xfId="0">
      <alignment horizontal="left"/>
    </xf>
    <xf numFmtId="0" fontId="0" fillId="0" borderId="21" pivotButton="0" quotePrefix="0" xfId="0"/>
    <xf numFmtId="0" fontId="0" fillId="0" borderId="20" applyAlignment="1" pivotButton="0" quotePrefix="0" xfId="0">
      <alignment horizontal="left"/>
    </xf>
    <xf numFmtId="0" fontId="0" fillId="0" borderId="18" applyAlignment="1" pivotButton="0" quotePrefix="0" xfId="0">
      <alignment horizontal="left"/>
    </xf>
    <xf numFmtId="0" fontId="0" fillId="0" borderId="17" applyAlignment="1" pivotButton="0" quotePrefix="0" xfId="0">
      <alignment horizontal="left"/>
    </xf>
    <xf numFmtId="2" fontId="0" fillId="0" borderId="2" pivotButton="0" quotePrefix="0" xfId="0"/>
    <xf numFmtId="2" fontId="0" fillId="0" borderId="16" pivotButton="0" quotePrefix="0" xfId="0"/>
    <xf numFmtId="1" fontId="0" fillId="0" borderId="2" pivotButton="0" quotePrefix="0" xfId="0"/>
    <xf numFmtId="1" fontId="0" fillId="0" borderId="16" pivotButton="0" quotePrefix="0" xfId="0"/>
    <xf numFmtId="1" fontId="4" fillId="0" borderId="2" pivotButton="0" quotePrefix="0" xfId="0"/>
    <xf numFmtId="0" fontId="0" fillId="0" borderId="0" pivotButton="0" quotePrefix="0" xfId="0"/>
    <xf numFmtId="0" fontId="2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2" pivotButton="0" quotePrefix="0" xfId="0"/>
    <xf numFmtId="0" fontId="3" fillId="0" borderId="2" applyAlignment="1" pivotButton="0" quotePrefix="0" xfId="0">
      <alignment horizontal="right"/>
    </xf>
    <xf numFmtId="2" fontId="0" fillId="0" borderId="2" pivotButton="0" quotePrefix="0" xfId="0"/>
    <xf numFmtId="1" fontId="4" fillId="0" borderId="2" pivotButton="0" quotePrefix="0" xfId="0"/>
    <xf numFmtId="2" fontId="4" fillId="0" borderId="2" pivotButton="0" quotePrefix="0" xfId="0"/>
    <xf numFmtId="164" fontId="0" fillId="0" borderId="2" pivotButton="0" quotePrefix="0" xfId="0"/>
    <xf numFmtId="0" fontId="0" fillId="0" borderId="3" pivotButton="0" quotePrefix="0" xfId="0"/>
    <xf numFmtId="0" fontId="1" fillId="0" borderId="2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5" fillId="2" borderId="0" applyAlignment="1" pivotButton="0" quotePrefix="0" xfId="0">
      <alignment horizontal="center"/>
    </xf>
    <xf numFmtId="1" fontId="5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10" pivotButton="0" quotePrefix="0" xfId="0"/>
    <xf numFmtId="0" fontId="1" fillId="0" borderId="9" applyAlignment="1" pivotButton="0" quotePrefix="0" xfId="0">
      <alignment horizontal="left"/>
    </xf>
    <xf numFmtId="0" fontId="0" fillId="0" borderId="4" pivotButton="0" quotePrefix="0" xfId="0"/>
    <xf numFmtId="0" fontId="0" fillId="0" borderId="9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3" applyAlignment="1" pivotButton="0" quotePrefix="0" xfId="0">
      <alignment horizontal="left"/>
    </xf>
    <xf numFmtId="1" fontId="1" fillId="0" borderId="2" applyAlignment="1" pivotButton="0" quotePrefix="0" xfId="0">
      <alignment horizontal="center" vertical="center"/>
    </xf>
    <xf numFmtId="49" fontId="0" fillId="0" borderId="2" pivotButton="0" quotePrefix="0" xfId="0"/>
    <xf numFmtId="165" fontId="0" fillId="0" borderId="2" pivotButton="0" quotePrefix="0" xfId="0"/>
    <xf numFmtId="165" fontId="4" fillId="0" borderId="2" pivotButton="0" quotePrefix="0" xfId="0"/>
    <xf numFmtId="1" fontId="1" fillId="0" borderId="2" applyAlignment="1" pivotButton="0" quotePrefix="0" xfId="0">
      <alignment horizontal="center" vertical="center"/>
    </xf>
    <xf numFmtId="49" fontId="0" fillId="0" borderId="2" pivotButton="0" quotePrefix="0" xfId="0"/>
    <xf numFmtId="165" fontId="0" fillId="0" borderId="2" pivotButton="0" quotePrefix="0" xfId="0"/>
    <xf numFmtId="1" fontId="0" fillId="0" borderId="2" pivotButton="0" quotePrefix="0" xfId="0"/>
    <xf numFmtId="165" fontId="4" fillId="0" borderId="2" pivotButton="0" quotePrefix="0" xfId="0"/>
  </cellXfs>
  <cellStyles count="1">
    <cellStyle name="Standard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D3" authorId="0" shapeId="0">
      <text>
        <t>Jahr eingeben, z. B. 2026</t>
      </text>
    </comment>
    <comment ref="E3" authorId="0" shapeId="0">
      <text>
        <t>Monat als Zahl eingeben: 1=Jan, 2=Feb, ... 12=Dez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G34"/>
  <sheetViews>
    <sheetView workbookViewId="0">
      <selection activeCell="A1" sqref="A1"/>
    </sheetView>
  </sheetViews>
  <sheetFormatPr baseColWidth="10" defaultRowHeight="15.75"/>
  <cols>
    <col width="26.875" customWidth="1" style="63" min="1" max="1"/>
    <col width="6.625" customWidth="1" style="63" min="2" max="2"/>
    <col width="5.625" customWidth="1" style="63" min="3" max="32"/>
    <col width="8.625" customWidth="1" style="63" min="33" max="33"/>
  </cols>
  <sheetData>
    <row r="2">
      <c r="D2" s="79" t="inlineStr">
        <is>
          <t>Jahr</t>
        </is>
      </c>
      <c r="E2" s="79" t="inlineStr">
        <is>
          <t>Monat</t>
        </is>
      </c>
    </row>
    <row r="3" ht="23.25" customHeight="1" s="63">
      <c r="A3" s="64" t="inlineStr">
        <is>
          <t>Arbeitszeitnachweis</t>
        </is>
      </c>
      <c r="D3" s="80" t="n">
        <v>2026</v>
      </c>
      <c r="E3" s="80" t="n">
        <v>9</v>
      </c>
      <c r="H3" s="51" t="inlineStr">
        <is>
          <t>für Monat 06/26</t>
        </is>
      </c>
      <c r="I3" s="32" t="n"/>
      <c r="J3" s="32" t="n"/>
      <c r="K3" s="32" t="n"/>
      <c r="L3" s="32" t="n"/>
    </row>
    <row r="4">
      <c r="C4" s="81" t="inlineStr">
        <is>
          <t>Nur D3 (Jahr) und E3 (Monat) ändern.</t>
        </is>
      </c>
      <c r="I4" s="75" t="n"/>
      <c r="J4" s="75" t="n"/>
      <c r="K4" s="75" t="n"/>
      <c r="L4" s="75" t="n"/>
    </row>
    <row r="7">
      <c r="N7">
        <f>SUM(W7)</f>
        <v/>
      </c>
    </row>
    <row r="8">
      <c r="A8" s="56" t="inlineStr">
        <is>
          <t>Mitarbeitername</t>
        </is>
      </c>
      <c r="B8" s="46" t="n"/>
      <c r="C8" s="46" t="n"/>
      <c r="D8" s="46" t="n"/>
      <c r="E8" s="46" t="n"/>
      <c r="H8" s="77" t="inlineStr">
        <is>
          <t>Teppich-Paradies Oranienburg GmbH</t>
        </is>
      </c>
      <c r="I8" s="77" t="n"/>
      <c r="J8" s="77" t="n"/>
      <c r="K8" s="77" t="n"/>
      <c r="L8" s="77" t="n"/>
    </row>
    <row r="9">
      <c r="A9" s="51" t="inlineStr">
        <is>
          <t>Thomas Rückheim</t>
        </is>
      </c>
      <c r="B9" s="32" t="n"/>
      <c r="H9" t="inlineStr">
        <is>
          <t>Name, Firmenstempel</t>
        </is>
      </c>
    </row>
    <row r="11" hidden="1" s="63"/>
    <row r="12" ht="30" customHeight="1" s="63">
      <c r="A12" s="70" t="inlineStr">
        <is>
          <t>Datum</t>
        </is>
      </c>
      <c r="B12" s="93">
        <f>IF(MONTH(DATE($D$3,$E$3,COLUMN()-1))=$E$3,DAY(DATE($D$3,$E$3,COLUMN()-1)),"")</f>
        <v/>
      </c>
      <c r="C12" s="93">
        <f>IF(MONTH(DATE($D$3,$E$3,COLUMN()-1))=$E$3,DAY(DATE($D$3,$E$3,COLUMN()-1)),"")</f>
        <v/>
      </c>
      <c r="D12" s="93">
        <f>IF(MONTH(DATE($D$3,$E$3,COLUMN()-1))=$E$3,DAY(DATE($D$3,$E$3,COLUMN()-1)),"")</f>
        <v/>
      </c>
      <c r="E12" s="93">
        <f>IF(MONTH(DATE($D$3,$E$3,COLUMN()-1))=$E$3,DAY(DATE($D$3,$E$3,COLUMN()-1)),"")</f>
        <v/>
      </c>
      <c r="F12" s="93">
        <f>IF(MONTH(DATE($D$3,$E$3,COLUMN()-1))=$E$3,DAY(DATE($D$3,$E$3,COLUMN()-1)),"")</f>
        <v/>
      </c>
      <c r="G12" s="93">
        <f>IF(MONTH(DATE($D$3,$E$3,COLUMN()-1))=$E$3,DAY(DATE($D$3,$E$3,COLUMN()-1)),"")</f>
        <v/>
      </c>
      <c r="H12" s="93">
        <f>IF(MONTH(DATE($D$3,$E$3,COLUMN()-1))=$E$3,DAY(DATE($D$3,$E$3,COLUMN()-1)),"")</f>
        <v/>
      </c>
      <c r="I12" s="93">
        <f>IF(MONTH(DATE($D$3,$E$3,COLUMN()-1))=$E$3,DAY(DATE($D$3,$E$3,COLUMN()-1)),"")</f>
        <v/>
      </c>
      <c r="J12" s="93">
        <f>IF(MONTH(DATE($D$3,$E$3,COLUMN()-1))=$E$3,DAY(DATE($D$3,$E$3,COLUMN()-1)),"")</f>
        <v/>
      </c>
      <c r="K12" s="93">
        <f>IF(MONTH(DATE($D$3,$E$3,COLUMN()-1))=$E$3,DAY(DATE($D$3,$E$3,COLUMN()-1)),"")</f>
        <v/>
      </c>
      <c r="L12" s="93">
        <f>IF(MONTH(DATE($D$3,$E$3,COLUMN()-1))=$E$3,DAY(DATE($D$3,$E$3,COLUMN()-1)),"")</f>
        <v/>
      </c>
      <c r="M12" s="93">
        <f>IF(MONTH(DATE($D$3,$E$3,COLUMN()-1))=$E$3,DAY(DATE($D$3,$E$3,COLUMN()-1)),"")</f>
        <v/>
      </c>
      <c r="N12" s="93">
        <f>IF(MONTH(DATE($D$3,$E$3,COLUMN()-1))=$E$3,DAY(DATE($D$3,$E$3,COLUMN()-1)),"")</f>
        <v/>
      </c>
      <c r="O12" s="93">
        <f>IF(MONTH(DATE($D$3,$E$3,COLUMN()-1))=$E$3,DAY(DATE($D$3,$E$3,COLUMN()-1)),"")</f>
        <v/>
      </c>
      <c r="P12" s="93">
        <f>IF(MONTH(DATE($D$3,$E$3,COLUMN()-1))=$E$3,DAY(DATE($D$3,$E$3,COLUMN()-1)),"")</f>
        <v/>
      </c>
      <c r="Q12" s="93">
        <f>IF(MONTH(DATE($D$3,$E$3,COLUMN()-1))=$E$3,DAY(DATE($D$3,$E$3,COLUMN()-1)),"")</f>
        <v/>
      </c>
      <c r="R12" s="93">
        <f>IF(MONTH(DATE($D$3,$E$3,COLUMN()-1))=$E$3,DAY(DATE($D$3,$E$3,COLUMN()-1)),"")</f>
        <v/>
      </c>
      <c r="S12" s="93">
        <f>IF(MONTH(DATE($D$3,$E$3,COLUMN()-1))=$E$3,DAY(DATE($D$3,$E$3,COLUMN()-1)),"")</f>
        <v/>
      </c>
      <c r="T12" s="93">
        <f>IF(MONTH(DATE($D$3,$E$3,COLUMN()-1))=$E$3,DAY(DATE($D$3,$E$3,COLUMN()-1)),"")</f>
        <v/>
      </c>
      <c r="U12" s="93">
        <f>IF(MONTH(DATE($D$3,$E$3,COLUMN()-1))=$E$3,DAY(DATE($D$3,$E$3,COLUMN()-1)),"")</f>
        <v/>
      </c>
      <c r="V12" s="93">
        <f>IF(MONTH(DATE($D$3,$E$3,COLUMN()-1))=$E$3,DAY(DATE($D$3,$E$3,COLUMN()-1)),"")</f>
        <v/>
      </c>
      <c r="W12" s="93">
        <f>IF(MONTH(DATE($D$3,$E$3,COLUMN()-1))=$E$3,DAY(DATE($D$3,$E$3,COLUMN()-1)),"")</f>
        <v/>
      </c>
      <c r="X12" s="93">
        <f>IF(MONTH(DATE($D$3,$E$3,COLUMN()-1))=$E$3,DAY(DATE($D$3,$E$3,COLUMN()-1)),"")</f>
        <v/>
      </c>
      <c r="Y12" s="93">
        <f>IF(MONTH(DATE($D$3,$E$3,COLUMN()-1))=$E$3,DAY(DATE($D$3,$E$3,COLUMN()-1)),"")</f>
        <v/>
      </c>
      <c r="Z12" s="93">
        <f>IF(MONTH(DATE($D$3,$E$3,COLUMN()-1))=$E$3,DAY(DATE($D$3,$E$3,COLUMN()-1)),"")</f>
        <v/>
      </c>
      <c r="AA12" s="93">
        <f>IF(MONTH(DATE($D$3,$E$3,COLUMN()-1))=$E$3,DAY(DATE($D$3,$E$3,COLUMN()-1)),"")</f>
        <v/>
      </c>
      <c r="AB12" s="93">
        <f>IF(MONTH(DATE($D$3,$E$3,COLUMN()-1))=$E$3,DAY(DATE($D$3,$E$3,COLUMN()-1)),"")</f>
        <v/>
      </c>
      <c r="AC12" s="93">
        <f>IF(MONTH(DATE($D$3,$E$3,COLUMN()-1))=$E$3,DAY(DATE($D$3,$E$3,COLUMN()-1)),"")</f>
        <v/>
      </c>
      <c r="AD12" s="93">
        <f>IF(MONTH(DATE($D$3,$E$3,COLUMN()-1))=$E$3,DAY(DATE($D$3,$E$3,COLUMN()-1)),"")</f>
        <v/>
      </c>
      <c r="AE12" s="93">
        <f>IF(MONTH(DATE($D$3,$E$3,COLUMN()-1))=$E$3,DAY(DATE($D$3,$E$3,COLUMN()-1)),"")</f>
        <v/>
      </c>
      <c r="AF12" s="93">
        <f>IF(MONTH(DATE($D$3,$E$3,COLUMN()-1))=$E$3,DAY(DATE($D$3,$E$3,COLUMN()-1)),"")</f>
        <v/>
      </c>
      <c r="AG12" s="45" t="inlineStr">
        <is>
          <t>Summe</t>
        </is>
      </c>
    </row>
    <row r="13" ht="30" customHeight="1" s="63">
      <c r="A13" s="70" t="inlineStr">
        <is>
          <t>Wochentag</t>
        </is>
      </c>
      <c r="B13" s="94">
        <f>IF(B12="","",CHOOSE(WEEKDAY(DATE($D$3,$E$3,COLUMN()-1),2),"Mo","Di","Mi","Do","Fr","Sa","So"))</f>
        <v/>
      </c>
      <c r="C13" s="94">
        <f>IF(C12="","",CHOOSE(WEEKDAY(DATE($D$3,$E$3,COLUMN()-1),2),"Mo","Di","Mi","Do","Fr","Sa","So"))</f>
        <v/>
      </c>
      <c r="D13" s="94">
        <f>IF(D12="","",CHOOSE(WEEKDAY(DATE($D$3,$E$3,COLUMN()-1),2),"Mo","Di","Mi","Do","Fr","Sa","So"))</f>
        <v/>
      </c>
      <c r="E13" s="94">
        <f>IF(E12="","",CHOOSE(WEEKDAY(DATE($D$3,$E$3,COLUMN()-1),2),"Mo","Di","Mi","Do","Fr","Sa","So"))</f>
        <v/>
      </c>
      <c r="F13" s="94">
        <f>IF(F12="","",CHOOSE(WEEKDAY(DATE($D$3,$E$3,COLUMN()-1),2),"Mo","Di","Mi","Do","Fr","Sa","So"))</f>
        <v/>
      </c>
      <c r="G13" s="94">
        <f>IF(G12="","",CHOOSE(WEEKDAY(DATE($D$3,$E$3,COLUMN()-1),2),"Mo","Di","Mi","Do","Fr","Sa","So"))</f>
        <v/>
      </c>
      <c r="H13" s="94">
        <f>IF(H12="","",CHOOSE(WEEKDAY(DATE($D$3,$E$3,COLUMN()-1),2),"Mo","Di","Mi","Do","Fr","Sa","So"))</f>
        <v/>
      </c>
      <c r="I13" s="94">
        <f>IF(I12="","",CHOOSE(WEEKDAY(DATE($D$3,$E$3,COLUMN()-1),2),"Mo","Di","Mi","Do","Fr","Sa","So"))</f>
        <v/>
      </c>
      <c r="J13" s="94">
        <f>IF(J12="","",CHOOSE(WEEKDAY(DATE($D$3,$E$3,COLUMN()-1),2),"Mo","Di","Mi","Do","Fr","Sa","So"))</f>
        <v/>
      </c>
      <c r="K13" s="94">
        <f>IF(K12="","",CHOOSE(WEEKDAY(DATE($D$3,$E$3,COLUMN()-1),2),"Mo","Di","Mi","Do","Fr","Sa","So"))</f>
        <v/>
      </c>
      <c r="L13" s="94">
        <f>IF(L12="","",CHOOSE(WEEKDAY(DATE($D$3,$E$3,COLUMN()-1),2),"Mo","Di","Mi","Do","Fr","Sa","So"))</f>
        <v/>
      </c>
      <c r="M13" s="94">
        <f>IF(M12="","",CHOOSE(WEEKDAY(DATE($D$3,$E$3,COLUMN()-1),2),"Mo","Di","Mi","Do","Fr","Sa","So"))</f>
        <v/>
      </c>
      <c r="N13" s="94">
        <f>IF(N12="","",CHOOSE(WEEKDAY(DATE($D$3,$E$3,COLUMN()-1),2),"Mo","Di","Mi","Do","Fr","Sa","So"))</f>
        <v/>
      </c>
      <c r="O13" s="94">
        <f>IF(O12="","",CHOOSE(WEEKDAY(DATE($D$3,$E$3,COLUMN()-1),2),"Mo","Di","Mi","Do","Fr","Sa","So"))</f>
        <v/>
      </c>
      <c r="P13" s="94">
        <f>IF(P12="","",CHOOSE(WEEKDAY(DATE($D$3,$E$3,COLUMN()-1),2),"Mo","Di","Mi","Do","Fr","Sa","So"))</f>
        <v/>
      </c>
      <c r="Q13" s="94">
        <f>IF(Q12="","",CHOOSE(WEEKDAY(DATE($D$3,$E$3,COLUMN()-1),2),"Mo","Di","Mi","Do","Fr","Sa","So"))</f>
        <v/>
      </c>
      <c r="R13" s="94">
        <f>IF(R12="","",CHOOSE(WEEKDAY(DATE($D$3,$E$3,COLUMN()-1),2),"Mo","Di","Mi","Do","Fr","Sa","So"))</f>
        <v/>
      </c>
      <c r="S13" s="94">
        <f>IF(S12="","",CHOOSE(WEEKDAY(DATE($D$3,$E$3,COLUMN()-1),2),"Mo","Di","Mi","Do","Fr","Sa","So"))</f>
        <v/>
      </c>
      <c r="T13" s="94">
        <f>IF(T12="","",CHOOSE(WEEKDAY(DATE($D$3,$E$3,COLUMN()-1),2),"Mo","Di","Mi","Do","Fr","Sa","So"))</f>
        <v/>
      </c>
      <c r="U13" s="94">
        <f>IF(U12="","",CHOOSE(WEEKDAY(DATE($D$3,$E$3,COLUMN()-1),2),"Mo","Di","Mi","Do","Fr","Sa","So"))</f>
        <v/>
      </c>
      <c r="V13" s="94">
        <f>IF(V12="","",CHOOSE(WEEKDAY(DATE($D$3,$E$3,COLUMN()-1),2),"Mo","Di","Mi","Do","Fr","Sa","So"))</f>
        <v/>
      </c>
      <c r="W13" s="94">
        <f>IF(W12="","",CHOOSE(WEEKDAY(DATE($D$3,$E$3,COLUMN()-1),2),"Mo","Di","Mi","Do","Fr","Sa","So"))</f>
        <v/>
      </c>
      <c r="X13" s="94">
        <f>IF(X12="","",CHOOSE(WEEKDAY(DATE($D$3,$E$3,COLUMN()-1),2),"Mo","Di","Mi","Do","Fr","Sa","So"))</f>
        <v/>
      </c>
      <c r="Y13" s="94">
        <f>IF(Y12="","",CHOOSE(WEEKDAY(DATE($D$3,$E$3,COLUMN()-1),2),"Mo","Di","Mi","Do","Fr","Sa","So"))</f>
        <v/>
      </c>
      <c r="Z13" s="94">
        <f>IF(Z12="","",CHOOSE(WEEKDAY(DATE($D$3,$E$3,COLUMN()-1),2),"Mo","Di","Mi","Do","Fr","Sa","So"))</f>
        <v/>
      </c>
      <c r="AA13" s="94">
        <f>IF(AA12="","",CHOOSE(WEEKDAY(DATE($D$3,$E$3,COLUMN()-1),2),"Mo","Di","Mi","Do","Fr","Sa","So"))</f>
        <v/>
      </c>
      <c r="AB13" s="94">
        <f>IF(AB12="","",CHOOSE(WEEKDAY(DATE($D$3,$E$3,COLUMN()-1),2),"Mo","Di","Mi","Do","Fr","Sa","So"))</f>
        <v/>
      </c>
      <c r="AC13" s="94">
        <f>IF(AC12="","",CHOOSE(WEEKDAY(DATE($D$3,$E$3,COLUMN()-1),2),"Mo","Di","Mi","Do","Fr","Sa","So"))</f>
        <v/>
      </c>
      <c r="AD13" s="94">
        <f>IF(AD12="","",CHOOSE(WEEKDAY(DATE($D$3,$E$3,COLUMN()-1),2),"Mo","Di","Mi","Do","Fr","Sa","So"))</f>
        <v/>
      </c>
      <c r="AE13" s="94">
        <f>IF(AE12="","",CHOOSE(WEEKDAY(DATE($D$3,$E$3,COLUMN()-1),2),"Mo","Di","Mi","Do","Fr","Sa","So"))</f>
        <v/>
      </c>
      <c r="AF13" s="94">
        <f>IF(AF12="","",CHOOSE(WEEKDAY(DATE($D$3,$E$3,COLUMN()-1),2),"Mo","Di","Mi","Do","Fr","Sa","So"))</f>
        <v/>
      </c>
      <c r="AG13" s="52" t="n"/>
    </row>
    <row r="14" ht="30" customHeight="1" s="63">
      <c r="A14" s="69" t="inlineStr">
        <is>
          <t>Arbeitszeit</t>
        </is>
      </c>
      <c r="B14" s="95" t="n">
        <v>8.1</v>
      </c>
      <c r="C14" s="95" t="n">
        <v>8.15</v>
      </c>
      <c r="D14" s="95" t="n">
        <v>8.16</v>
      </c>
      <c r="E14" s="95" t="n">
        <v>8.24</v>
      </c>
      <c r="F14" s="95" t="n">
        <v>8.1</v>
      </c>
      <c r="G14" s="95" t="n"/>
      <c r="H14" s="95" t="n"/>
      <c r="I14" s="95" t="n">
        <v>8.050000000000001</v>
      </c>
      <c r="J14" s="95" t="n">
        <v>8.1</v>
      </c>
      <c r="K14" s="95" t="n">
        <v>8.15</v>
      </c>
      <c r="L14" s="95" t="n">
        <v>8.140000000000001</v>
      </c>
      <c r="M14" s="95" t="n">
        <v>7.05</v>
      </c>
      <c r="N14" s="95" t="n">
        <v>8.130000000000001</v>
      </c>
      <c r="O14" s="95" t="n"/>
      <c r="P14" s="95" t="n">
        <v>8.15</v>
      </c>
      <c r="Q14" s="95" t="n">
        <v>8.25</v>
      </c>
      <c r="R14" s="95" t="n">
        <v>8.199999999999999</v>
      </c>
      <c r="S14" s="95" t="n">
        <v>8.1</v>
      </c>
      <c r="T14" s="95" t="n">
        <v>6.4</v>
      </c>
      <c r="U14" s="95" t="n">
        <v>8.140000000000001</v>
      </c>
      <c r="V14" s="95" t="n"/>
      <c r="W14" s="95" t="n">
        <v>8.1</v>
      </c>
      <c r="X14" s="95" t="n">
        <v>8.050000000000001</v>
      </c>
      <c r="Y14" s="95" t="n">
        <v>8.48</v>
      </c>
      <c r="Z14" s="95" t="n">
        <v>8.199999999999999</v>
      </c>
      <c r="AA14" s="95" t="n">
        <v>8.25</v>
      </c>
      <c r="AB14" s="95" t="n">
        <v>8.4</v>
      </c>
      <c r="AC14" s="95" t="n"/>
      <c r="AD14" s="95" t="n">
        <v>8.4</v>
      </c>
      <c r="AE14" s="95" t="n">
        <v>8.050000000000001</v>
      </c>
      <c r="AF14" s="95" t="n">
        <v>8.18</v>
      </c>
      <c r="AG14" s="95">
        <f>SUM(B14:AF14)</f>
        <v/>
      </c>
    </row>
    <row r="15" ht="30" customHeight="1" s="63">
      <c r="A15" s="69" t="inlineStr">
        <is>
          <t>bez. Urlaub</t>
        </is>
      </c>
      <c r="B15" s="95" t="n"/>
      <c r="C15" s="95" t="n"/>
      <c r="D15" s="95" t="n"/>
      <c r="E15" s="95" t="n"/>
      <c r="F15" s="95" t="n"/>
      <c r="G15" s="95" t="n"/>
      <c r="H15" s="95" t="n"/>
      <c r="I15" s="95" t="n"/>
      <c r="J15" s="95" t="n"/>
      <c r="K15" s="95" t="n"/>
      <c r="L15" s="95" t="n"/>
      <c r="M15" s="95" t="n"/>
      <c r="N15" s="95" t="n"/>
      <c r="O15" s="95" t="n"/>
      <c r="P15" s="95" t="n"/>
      <c r="Q15" s="95" t="n"/>
      <c r="R15" s="95" t="n"/>
      <c r="S15" s="95" t="n"/>
      <c r="T15" s="95" t="n"/>
      <c r="U15" s="95" t="n"/>
      <c r="V15" s="95" t="n"/>
      <c r="W15" s="95" t="n"/>
      <c r="X15" s="95" t="n"/>
      <c r="Y15" s="95" t="n"/>
      <c r="Z15" s="95" t="n"/>
      <c r="AA15" s="95" t="n"/>
      <c r="AB15" s="95" t="n"/>
      <c r="AC15" s="95" t="n"/>
      <c r="AD15" s="95" t="n"/>
      <c r="AE15" s="95" t="n"/>
      <c r="AF15" s="95" t="n"/>
      <c r="AG15" s="95">
        <f>SUM(B15:AF15)</f>
        <v/>
      </c>
    </row>
    <row r="16" ht="30" customHeight="1" s="63">
      <c r="A16" s="69" t="inlineStr">
        <is>
          <t>Feiertage</t>
        </is>
      </c>
      <c r="B16" s="95" t="inlineStr">
        <is>
          <t>-</t>
        </is>
      </c>
      <c r="C16" s="95">
        <f>IF(C$12="","","-")</f>
        <v/>
      </c>
      <c r="D16" s="95">
        <f>IF(D$12="","","-")</f>
        <v/>
      </c>
      <c r="E16" s="95">
        <f>IF(E$12="","","-")</f>
        <v/>
      </c>
      <c r="F16" s="95">
        <f>IF(F$12="","","-")</f>
        <v/>
      </c>
      <c r="G16" s="95">
        <f>IF(G$12="","","-")</f>
        <v/>
      </c>
      <c r="H16" s="95">
        <f>IF(H$12="","","-")</f>
        <v/>
      </c>
      <c r="I16" s="95">
        <f>IF(I$12="","","-")</f>
        <v/>
      </c>
      <c r="J16" s="95">
        <f>IF(J$12="","","-")</f>
        <v/>
      </c>
      <c r="K16" s="95">
        <f>IF(K$12="","","-")</f>
        <v/>
      </c>
      <c r="L16" s="95">
        <f>IF(L$12="","","-")</f>
        <v/>
      </c>
      <c r="M16" s="95">
        <f>IF(M$12="","","-")</f>
        <v/>
      </c>
      <c r="N16" s="95">
        <f>IF(N$12="","","-")</f>
        <v/>
      </c>
      <c r="O16" s="95" t="inlineStr">
        <is>
          <t>-</t>
        </is>
      </c>
      <c r="P16" s="95">
        <f>IF(P$12="","","-")</f>
        <v/>
      </c>
      <c r="Q16" s="95">
        <f>IF(Q$12="","","-")</f>
        <v/>
      </c>
      <c r="R16" s="95">
        <f>IF(R$12="","","-")</f>
        <v/>
      </c>
      <c r="S16" s="95">
        <f>IF(S$12="","","-")</f>
        <v/>
      </c>
      <c r="T16" s="95">
        <f>IF(T$12="","","-")</f>
        <v/>
      </c>
      <c r="U16" s="95">
        <f>IF(U$12="","","-")</f>
        <v/>
      </c>
      <c r="V16" s="95">
        <f>IF(V$12="","","-")</f>
        <v/>
      </c>
      <c r="W16" s="95">
        <f>IF(W$12="","","-")</f>
        <v/>
      </c>
      <c r="X16" s="95">
        <f>IF(X$12="","","-")</f>
        <v/>
      </c>
      <c r="Y16" s="95">
        <f>IF(Y$12="","","-")</f>
        <v/>
      </c>
      <c r="Z16" s="95" t="inlineStr">
        <is>
          <t>-</t>
        </is>
      </c>
      <c r="AA16" s="95">
        <f>IF(AA$12="","","-")</f>
        <v/>
      </c>
      <c r="AB16" s="95">
        <f>IF(AB$12="","","-")</f>
        <v/>
      </c>
      <c r="AC16" s="95">
        <f>IF(AC$12="","","-")</f>
        <v/>
      </c>
      <c r="AD16" s="95">
        <f>IF(AD$12="","","-")</f>
        <v/>
      </c>
      <c r="AE16" s="95">
        <f>IF(AE$12="","","-")</f>
        <v/>
      </c>
      <c r="AF16" s="95">
        <f>IF(AF$12="","","-")</f>
        <v/>
      </c>
      <c r="AG16" s="95">
        <f>SUM(B16:AF16)</f>
        <v/>
      </c>
    </row>
    <row r="17" ht="30" customHeight="1" s="63">
      <c r="A17" s="69" t="inlineStr">
        <is>
          <t>Krankentage</t>
        </is>
      </c>
      <c r="B17" s="95">
        <f>IF(B$12="","","-")</f>
        <v/>
      </c>
      <c r="C17" s="95">
        <f>IF(C$12="","","-")</f>
        <v/>
      </c>
      <c r="D17" s="95">
        <f>IF(D$12="","","-")</f>
        <v/>
      </c>
      <c r="E17" s="95">
        <f>IF(E$12="","","-")</f>
        <v/>
      </c>
      <c r="F17" s="95">
        <f>IF(F$12="","","-")</f>
        <v/>
      </c>
      <c r="G17" s="95">
        <f>IF(G$12="","","-")</f>
        <v/>
      </c>
      <c r="H17" s="95">
        <f>IF(H$12="","","-")</f>
        <v/>
      </c>
      <c r="I17" s="95">
        <f>IF(I$12="","","-")</f>
        <v/>
      </c>
      <c r="J17" s="95">
        <f>IF(J$12="","","-")</f>
        <v/>
      </c>
      <c r="K17" s="95">
        <f>IF(K$12="","","-")</f>
        <v/>
      </c>
      <c r="L17" s="95">
        <f>IF(L$12="","","-")</f>
        <v/>
      </c>
      <c r="M17" s="95">
        <f>IF(M$12="","","-")</f>
        <v/>
      </c>
      <c r="N17" s="95">
        <f>IF(N$12="","","-")</f>
        <v/>
      </c>
      <c r="O17" s="95">
        <f>IF(O$12="","","-")</f>
        <v/>
      </c>
      <c r="P17" s="95">
        <f>IF(P$12="","","-")</f>
        <v/>
      </c>
      <c r="Q17" s="95">
        <f>IF(Q$12="","","-")</f>
        <v/>
      </c>
      <c r="R17" s="95">
        <f>IF(R$12="","","-")</f>
        <v/>
      </c>
      <c r="S17" s="95">
        <f>IF(S$12="","","-")</f>
        <v/>
      </c>
      <c r="T17" s="95">
        <f>IF(T$12="","","-")</f>
        <v/>
      </c>
      <c r="U17" s="95">
        <f>IF(U$12="","","-")</f>
        <v/>
      </c>
      <c r="V17" s="95">
        <f>IF(V$12="","","-")</f>
        <v/>
      </c>
      <c r="W17" s="95">
        <f>IF(W$12="","","-")</f>
        <v/>
      </c>
      <c r="X17" s="95">
        <f>IF(X$12="","","-")</f>
        <v/>
      </c>
      <c r="Y17" s="95">
        <f>IF(Y$12="","","-")</f>
        <v/>
      </c>
      <c r="Z17" s="95">
        <f>IF(Z$12="","","-")</f>
        <v/>
      </c>
      <c r="AA17" s="95">
        <f>IF(AA$12="","","-")</f>
        <v/>
      </c>
      <c r="AB17" s="95">
        <f>IF(AB$12="","","-")</f>
        <v/>
      </c>
      <c r="AC17" s="95">
        <f>IF(AC$12="","","-")</f>
        <v/>
      </c>
      <c r="AD17" s="95">
        <f>IF(AD$12="","","-")</f>
        <v/>
      </c>
      <c r="AE17" s="95">
        <f>IF(AE$12="","","-")</f>
        <v/>
      </c>
      <c r="AF17" s="95">
        <f>IF(AF$12="","","-")</f>
        <v/>
      </c>
      <c r="AG17" s="95">
        <f>SUM(B17:AF17)</f>
        <v/>
      </c>
    </row>
    <row r="18" ht="30" customHeight="1" s="63">
      <c r="A18" s="69" t="inlineStr">
        <is>
          <t>Sonstige Fehlzeiten</t>
        </is>
      </c>
      <c r="B18" s="95">
        <f>IF(B$12="","","-")</f>
        <v/>
      </c>
      <c r="C18" s="95">
        <f>IF(C$12="","","-")</f>
        <v/>
      </c>
      <c r="D18" s="95">
        <f>IF(D$12="","","-")</f>
        <v/>
      </c>
      <c r="E18" s="95">
        <f>IF(E$12="","","-")</f>
        <v/>
      </c>
      <c r="F18" s="95">
        <f>IF(F$12="","","-")</f>
        <v/>
      </c>
      <c r="G18" s="95">
        <f>IF(G$12="","","-")</f>
        <v/>
      </c>
      <c r="H18" s="95">
        <f>IF(H$12="","","-")</f>
        <v/>
      </c>
      <c r="I18" s="95">
        <f>IF(I$12="","","-")</f>
        <v/>
      </c>
      <c r="J18" s="95">
        <f>IF(J$12="","","-")</f>
        <v/>
      </c>
      <c r="K18" s="95">
        <f>IF(K$12="","","-")</f>
        <v/>
      </c>
      <c r="L18" s="95">
        <f>IF(L$12="","","-")</f>
        <v/>
      </c>
      <c r="M18" s="95">
        <f>IF(M$12="","","-")</f>
        <v/>
      </c>
      <c r="N18" s="95">
        <f>IF(N$12="","","-")</f>
        <v/>
      </c>
      <c r="O18" s="95">
        <f>IF(O$12="","","-")</f>
        <v/>
      </c>
      <c r="P18" s="95">
        <f>IF(P$12="","","-")</f>
        <v/>
      </c>
      <c r="Q18" s="95">
        <f>IF(Q$12="","","-")</f>
        <v/>
      </c>
      <c r="R18" s="95">
        <f>IF(R$12="","","-")</f>
        <v/>
      </c>
      <c r="S18" s="95">
        <f>IF(S$12="","","-")</f>
        <v/>
      </c>
      <c r="T18" s="95">
        <f>IF(T$12="","","-")</f>
        <v/>
      </c>
      <c r="U18" s="95">
        <f>IF(U$12="","","-")</f>
        <v/>
      </c>
      <c r="V18" s="95">
        <f>IF(V$12="","","-")</f>
        <v/>
      </c>
      <c r="W18" s="95">
        <f>IF(W$12="","","-")</f>
        <v/>
      </c>
      <c r="X18" s="95">
        <f>IF(X$12="","","-")</f>
        <v/>
      </c>
      <c r="Y18" s="95">
        <f>IF(Y$12="","","-")</f>
        <v/>
      </c>
      <c r="Z18" s="95">
        <f>IF(Z$12="","","-")</f>
        <v/>
      </c>
      <c r="AA18" s="95">
        <f>IF(AA$12="","","-")</f>
        <v/>
      </c>
      <c r="AB18" s="95">
        <f>IF(AB$12="","","-")</f>
        <v/>
      </c>
      <c r="AC18" s="95">
        <f>IF(AC$12="","","-")</f>
        <v/>
      </c>
      <c r="AD18" s="95">
        <f>IF(AD$12="","","-")</f>
        <v/>
      </c>
      <c r="AE18" s="95">
        <f>IF(AE$12="","","-")</f>
        <v/>
      </c>
      <c r="AF18" s="95">
        <f>IF(AF$12="","","-")</f>
        <v/>
      </c>
      <c r="AG18" s="95">
        <f>SUM(B18:AF18)</f>
        <v/>
      </c>
    </row>
    <row r="19" ht="30" customHeight="1" s="63">
      <c r="A19" s="69" t="inlineStr">
        <is>
          <t>Gesamt-Stunden</t>
        </is>
      </c>
      <c r="B19" s="95" t="n"/>
      <c r="C19" s="95" t="n"/>
      <c r="D19" s="95" t="n"/>
      <c r="E19" s="95" t="n"/>
      <c r="F19" s="95" t="n"/>
      <c r="G19" s="95" t="n"/>
      <c r="H19" s="95" t="n"/>
      <c r="I19" s="95" t="n"/>
      <c r="J19" s="95" t="n"/>
      <c r="K19" s="95" t="n"/>
      <c r="L19" s="95" t="n"/>
      <c r="M19" s="95" t="n"/>
      <c r="N19" s="95" t="n"/>
      <c r="O19" s="95" t="n"/>
      <c r="P19" s="95" t="n"/>
      <c r="Q19" s="95" t="n"/>
      <c r="R19" s="95" t="n"/>
      <c r="S19" s="95" t="n"/>
      <c r="T19" s="95" t="n"/>
      <c r="U19" s="95" t="n"/>
      <c r="V19" s="95" t="n"/>
      <c r="W19" s="95" t="n"/>
      <c r="X19" s="95" t="n"/>
      <c r="Y19" s="95" t="n"/>
      <c r="Z19" s="95" t="n"/>
      <c r="AA19" s="95" t="n"/>
      <c r="AB19" s="95" t="n"/>
      <c r="AC19" s="95" t="n"/>
      <c r="AD19" s="95" t="n"/>
      <c r="AE19" s="95" t="n"/>
      <c r="AF19" s="95" t="n"/>
      <c r="AG19" s="95">
        <f>SUM(AG14:AG18)</f>
        <v/>
      </c>
    </row>
    <row r="20" ht="30" customHeight="1" s="63">
      <c r="A20" s="69" t="inlineStr">
        <is>
          <t>VMA-Tag (1=ja)</t>
        </is>
      </c>
      <c r="B20" s="96">
        <f>IF(B12="","",IF(B14="-","-",IF(B14="","",IF(AND(ISNUMBER(B14),INT(B14)*100+ROUND(MOD(B14,1)*100,0)&gt;800),1,"-"))))</f>
        <v/>
      </c>
      <c r="C20" s="96">
        <f>IF(C12="","",IF(C14="-","-",IF(C14="","",IF(AND(ISNUMBER(C14),INT(C14)*100+ROUND(MOD(C14,1)*100,0)&gt;800),1,"-"))))</f>
        <v/>
      </c>
      <c r="D20" s="96">
        <f>IF(D12="","",IF(D14="-","-",IF(D14="","",IF(AND(ISNUMBER(D14),INT(D14)*100+ROUND(MOD(D14,1)*100,0)&gt;800),1,"-"))))</f>
        <v/>
      </c>
      <c r="E20" s="96">
        <f>IF(E12="","",IF(E14="-","-",IF(E14="","",IF(AND(ISNUMBER(E14),INT(E14)*100+ROUND(MOD(E14,1)*100,0)&gt;800),1,"-"))))</f>
        <v/>
      </c>
      <c r="F20" s="96">
        <f>IF(F12="","",IF(F14="-","-",IF(F14="","",IF(AND(ISNUMBER(F14),INT(F14)*100+ROUND(MOD(F14,1)*100,0)&gt;800),1,"-"))))</f>
        <v/>
      </c>
      <c r="G20" s="96">
        <f>IF(G12="","",IF(G14="-","-",IF(G14="","",IF(AND(ISNUMBER(G14),INT(G14)*100+ROUND(MOD(G14,1)*100,0)&gt;800),1,"-"))))</f>
        <v/>
      </c>
      <c r="H20" s="96">
        <f>IF(H12="","",IF(H14="-","-",IF(H14="","",IF(AND(ISNUMBER(H14),INT(H14)*100+ROUND(MOD(H14,1)*100,0)&gt;800),1,"-"))))</f>
        <v/>
      </c>
      <c r="I20" s="96">
        <f>IF(I12="","",IF(I14="-","-",IF(I14="","",IF(AND(ISNUMBER(I14),INT(I14)*100+ROUND(MOD(I14,1)*100,0)&gt;800),1,"-"))))</f>
        <v/>
      </c>
      <c r="J20" s="96">
        <f>IF(J12="","",IF(J14="-","-",IF(J14="","",IF(AND(ISNUMBER(J14),INT(J14)*100+ROUND(MOD(J14,1)*100,0)&gt;800),1,"-"))))</f>
        <v/>
      </c>
      <c r="K20" s="96">
        <f>IF(K12="","",IF(K14="-","-",IF(K14="","",IF(AND(ISNUMBER(K14),INT(K14)*100+ROUND(MOD(K14,1)*100,0)&gt;800),1,"-"))))</f>
        <v/>
      </c>
      <c r="L20" s="96">
        <f>IF(L12="","",IF(L14="-","-",IF(L14="","",IF(AND(ISNUMBER(L14),INT(L14)*100+ROUND(MOD(L14,1)*100,0)&gt;800),1,"-"))))</f>
        <v/>
      </c>
      <c r="M20" s="96">
        <f>IF(M12="","",IF(M14="-","-",IF(M14="","",IF(AND(ISNUMBER(M14),INT(M14)*100+ROUND(MOD(M14,1)*100,0)&gt;800),1,"-"))))</f>
        <v/>
      </c>
      <c r="N20" s="96">
        <f>IF(N12="","",IF(N14="-","-",IF(N14="","",IF(AND(ISNUMBER(N14),INT(N14)*100+ROUND(MOD(N14,1)*100,0)&gt;800),1,"-"))))</f>
        <v/>
      </c>
      <c r="O20" s="96">
        <f>IF(O12="","",IF(O14="-","-",IF(O14="","",IF(AND(ISNUMBER(O14),INT(O14)*100+ROUND(MOD(O14,1)*100,0)&gt;800),1,"-"))))</f>
        <v/>
      </c>
      <c r="P20" s="96">
        <f>IF(P12="","",IF(P14="-","-",IF(P14="","",IF(AND(ISNUMBER(P14),INT(P14)*100+ROUND(MOD(P14,1)*100,0)&gt;800),1,"-"))))</f>
        <v/>
      </c>
      <c r="Q20" s="96">
        <f>IF(Q12="","",IF(Q14="-","-",IF(Q14="","",IF(AND(ISNUMBER(Q14),INT(Q14)*100+ROUND(MOD(Q14,1)*100,0)&gt;800),1,"-"))))</f>
        <v/>
      </c>
      <c r="R20" s="96">
        <f>IF(R12="","",IF(R14="-","-",IF(R14="","",IF(AND(ISNUMBER(R14),INT(R14)*100+ROUND(MOD(R14,1)*100,0)&gt;800),1,"-"))))</f>
        <v/>
      </c>
      <c r="S20" s="96">
        <f>IF(S12="","",IF(S14="-","-",IF(S14="","",IF(AND(ISNUMBER(S14),INT(S14)*100+ROUND(MOD(S14,1)*100,0)&gt;800),1,"-"))))</f>
        <v/>
      </c>
      <c r="T20" s="96">
        <f>IF(T12="","",IF(T14="-","-",IF(T14="","",IF(AND(ISNUMBER(T14),INT(T14)*100+ROUND(MOD(T14,1)*100,0)&gt;800),1,"-"))))</f>
        <v/>
      </c>
      <c r="U20" s="96">
        <f>IF(U12="","",IF(U14="-","-",IF(U14="","",IF(AND(ISNUMBER(U14),INT(U14)*100+ROUND(MOD(U14,1)*100,0)&gt;800),1,"-"))))</f>
        <v/>
      </c>
      <c r="V20" s="96">
        <f>IF(V12="","",IF(V14="-","-",IF(V14="","",IF(AND(ISNUMBER(V14),INT(V14)*100+ROUND(MOD(V14,1)*100,0)&gt;800),1,"-"))))</f>
        <v/>
      </c>
      <c r="W20" s="96">
        <f>IF(W12="","",IF(W14="-","-",IF(W14="","",IF(AND(ISNUMBER(W14),INT(W14)*100+ROUND(MOD(W14,1)*100,0)&gt;800),1,"-"))))</f>
        <v/>
      </c>
      <c r="X20" s="96">
        <f>IF(X12="","",IF(X14="-","-",IF(X14="","",IF(AND(ISNUMBER(X14),INT(X14)*100+ROUND(MOD(X14,1)*100,0)&gt;800),1,"-"))))</f>
        <v/>
      </c>
      <c r="Y20" s="96">
        <f>IF(Y12="","",IF(Y14="-","-",IF(Y14="","",IF(AND(ISNUMBER(Y14),INT(Y14)*100+ROUND(MOD(Y14,1)*100,0)&gt;800),1,"-"))))</f>
        <v/>
      </c>
      <c r="Z20" s="96">
        <f>IF(Z12="","",IF(Z14="-","-",IF(Z14="","",IF(AND(ISNUMBER(Z14),INT(Z14)*100+ROUND(MOD(Z14,1)*100,0)&gt;800),1,"-"))))</f>
        <v/>
      </c>
      <c r="AA20" s="96">
        <f>IF(AA12="","",IF(AA14="-","-",IF(AA14="","",IF(AND(ISNUMBER(AA14),INT(AA14)*100+ROUND(MOD(AA14,1)*100,0)&gt;800),1,"-"))))</f>
        <v/>
      </c>
      <c r="AB20" s="96">
        <f>IF(AB12="","",IF(AB14="-","-",IF(AB14="","",IF(AND(ISNUMBER(AB14),INT(AB14)*100+ROUND(MOD(AB14,1)*100,0)&gt;800),1,"-"))))</f>
        <v/>
      </c>
      <c r="AC20" s="96">
        <f>IF(AC12="","",IF(AC14="-","-",IF(AC14="","",IF(AND(ISNUMBER(AC14),INT(AC14)*100+ROUND(MOD(AC14,1)*100,0)&gt;800),1,"-"))))</f>
        <v/>
      </c>
      <c r="AD20" s="96">
        <f>IF(AD12="","",IF(AD14="-","-",IF(AD14="","",IF(AND(ISNUMBER(AD14),INT(AD14)*100+ROUND(MOD(AD14,1)*100,0)&gt;800),1,"-"))))</f>
        <v/>
      </c>
      <c r="AE20" s="96">
        <f>IF(AE12="","",IF(AE14="-","-",IF(AE14="","",IF(AND(ISNUMBER(AE14),INT(AE14)*100+ROUND(MOD(AE14,1)*100,0)&gt;800),1,"-"))))</f>
        <v/>
      </c>
      <c r="AF20" s="96">
        <f>IF(AF12="","",IF(AF14="-","-",IF(AF14="","",IF(AND(ISNUMBER(AF14),INT(AF14)*100+ROUND(MOD(AF14,1)*100,0)&gt;800),1,"-"))))</f>
        <v/>
      </c>
      <c r="AG20" s="96">
        <f>SUM(B20:AF20)</f>
        <v/>
      </c>
    </row>
    <row r="21" ht="30" customHeight="1" s="63">
      <c r="A21" s="69" t="inlineStr">
        <is>
          <t>VMA €</t>
        </is>
      </c>
      <c r="B21" s="95">
        <f>IF(B20=1,14,0)</f>
        <v/>
      </c>
      <c r="C21" s="95">
        <f>IF(C20=1,14,0)</f>
        <v/>
      </c>
      <c r="D21" s="95">
        <f>IF(D20=1,14,0)</f>
        <v/>
      </c>
      <c r="E21" s="95">
        <f>IF(E20=1,14,0)</f>
        <v/>
      </c>
      <c r="F21" s="95">
        <f>IF(F20=1,14,0)</f>
        <v/>
      </c>
      <c r="G21" s="95">
        <f>IF(G20=1,14,0)</f>
        <v/>
      </c>
      <c r="H21" s="95">
        <f>IF(H20=1,14,0)</f>
        <v/>
      </c>
      <c r="I21" s="95">
        <f>IF(I20=1,14,0)</f>
        <v/>
      </c>
      <c r="J21" s="95">
        <f>IF(J20=1,14,0)</f>
        <v/>
      </c>
      <c r="K21" s="95">
        <f>IF(K20=1,14,0)</f>
        <v/>
      </c>
      <c r="L21" s="95">
        <f>IF(L20=1,14,0)</f>
        <v/>
      </c>
      <c r="M21" s="95">
        <f>IF(M20=1,14,0)</f>
        <v/>
      </c>
      <c r="N21" s="95">
        <f>IF(N20=1,14,0)</f>
        <v/>
      </c>
      <c r="O21" s="95">
        <f>IF(O20=1,14,0)</f>
        <v/>
      </c>
      <c r="P21" s="95">
        <f>IF(P20=1,14,0)</f>
        <v/>
      </c>
      <c r="Q21" s="95">
        <f>IF(Q20=1,14,0)</f>
        <v/>
      </c>
      <c r="R21" s="95">
        <f>IF(R20=1,14,0)</f>
        <v/>
      </c>
      <c r="S21" s="95">
        <f>IF(S20=1,14,0)</f>
        <v/>
      </c>
      <c r="T21" s="95">
        <f>IF(T20=1,14,0)</f>
        <v/>
      </c>
      <c r="U21" s="95">
        <f>IF(U20=1,14,0)</f>
        <v/>
      </c>
      <c r="V21" s="95">
        <f>IF(V20=1,14,0)</f>
        <v/>
      </c>
      <c r="W21" s="95">
        <f>IF(W20=1,14,0)</f>
        <v/>
      </c>
      <c r="X21" s="95">
        <f>IF(X20=1,14,0)</f>
        <v/>
      </c>
      <c r="Y21" s="95">
        <f>IF(Y20=1,14,0)</f>
        <v/>
      </c>
      <c r="Z21" s="95">
        <f>IF(Z20=1,14,0)</f>
        <v/>
      </c>
      <c r="AA21" s="95">
        <f>IF(AA20=1,14,0)</f>
        <v/>
      </c>
      <c r="AB21" s="95">
        <f>IF(AB20=1,14,0)</f>
        <v/>
      </c>
      <c r="AC21" s="95">
        <f>IF(AC20=1,14,0)</f>
        <v/>
      </c>
      <c r="AD21" s="95">
        <f>IF(AD20=1,14,0)</f>
        <v/>
      </c>
      <c r="AE21" s="95">
        <f>IF(AE20=1,14,0)</f>
        <v/>
      </c>
      <c r="AF21" s="95">
        <f>IF(AF20=1,14,0)</f>
        <v/>
      </c>
      <c r="AG21" s="95">
        <f>SUM(B21:AF21)</f>
        <v/>
      </c>
    </row>
    <row r="23" ht="18.75" customHeight="1" s="63">
      <c r="S23" s="53" t="inlineStr">
        <is>
          <t>Für die Richtigkeit der Eintragung</t>
        </is>
      </c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  <c r="AE23" s="44" t="n"/>
      <c r="AF23" s="44" t="n"/>
      <c r="AG23" s="54" t="n"/>
    </row>
    <row r="24" ht="18.75" customHeight="1" s="63">
      <c r="A24" s="69" t="inlineStr">
        <is>
          <t>VMA Satz (€)</t>
        </is>
      </c>
      <c r="B24" s="95" t="n">
        <v>14</v>
      </c>
      <c r="C24" s="78" t="n"/>
      <c r="D24" s="78" t="n"/>
      <c r="E24" s="78" t="n"/>
      <c r="F24" s="78" t="n"/>
      <c r="G24" s="78" t="n"/>
      <c r="H24" s="78" t="n"/>
      <c r="I24" s="78" t="n"/>
      <c r="J24" s="78" t="n"/>
      <c r="K24" s="78" t="n"/>
      <c r="L24" s="78" t="n"/>
      <c r="M24" s="78" t="n"/>
      <c r="N24" s="78" t="n"/>
      <c r="O24" s="78" t="n"/>
      <c r="P24" s="78" t="n"/>
      <c r="Q24" s="78" t="n"/>
      <c r="R24" s="78" t="n"/>
      <c r="S24" s="78" t="n"/>
      <c r="T24" s="78" t="n"/>
      <c r="U24" s="78" t="n"/>
      <c r="V24" s="78" t="n"/>
      <c r="W24" s="78" t="n"/>
      <c r="X24" s="78" t="n"/>
      <c r="Y24" s="78" t="n"/>
      <c r="Z24" s="78" t="n"/>
      <c r="AA24" s="78" t="n"/>
      <c r="AB24" s="78" t="n"/>
      <c r="AC24" s="78" t="n"/>
      <c r="AD24" s="78" t="n"/>
      <c r="AE24" s="78" t="n"/>
      <c r="AF24" s="78" t="n"/>
      <c r="AG24" s="78" t="n"/>
    </row>
    <row r="25" ht="18.75" customHeight="1" s="63">
      <c r="A25" s="69" t="inlineStr">
        <is>
          <t>VMA-Tage (Monat)</t>
        </is>
      </c>
      <c r="B25" s="97">
        <f>AG20</f>
        <v/>
      </c>
      <c r="C25" s="78" t="n"/>
      <c r="D25" s="78" t="n"/>
      <c r="E25" s="78" t="n"/>
      <c r="F25" s="78" t="n"/>
      <c r="G25" s="78" t="n"/>
      <c r="H25" s="78" t="n"/>
      <c r="I25" s="78" t="n"/>
      <c r="J25" s="78" t="n"/>
      <c r="K25" s="78" t="n"/>
      <c r="L25" s="78" t="n"/>
      <c r="M25" s="78" t="n"/>
      <c r="N25" s="78" t="n"/>
      <c r="O25" s="78" t="n"/>
      <c r="P25" s="78" t="n"/>
      <c r="Q25" s="78" t="n"/>
      <c r="R25" s="78" t="n"/>
      <c r="S25" s="78" t="n"/>
      <c r="T25" s="78" t="n"/>
      <c r="U25" s="78" t="n"/>
      <c r="V25" s="78" t="n"/>
      <c r="W25" s="78" t="n"/>
      <c r="X25" s="78" t="n"/>
      <c r="Y25" s="78" t="n"/>
      <c r="Z25" s="78" t="n"/>
      <c r="AA25" s="78" t="n"/>
      <c r="AB25" s="78" t="n"/>
      <c r="AC25" s="78" t="n"/>
      <c r="AD25" s="78" t="n"/>
      <c r="AE25" s="78" t="n"/>
      <c r="AF25" s="78" t="n"/>
      <c r="AG25" s="78" t="n"/>
    </row>
    <row r="26" ht="18.75" customHeight="1" s="63">
      <c r="A26" s="69" t="inlineStr">
        <is>
          <t>VMA Gesamt (€)</t>
        </is>
      </c>
      <c r="B26" s="97">
        <f>AG21</f>
        <v/>
      </c>
      <c r="C26" s="78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  <c r="O26" s="78" t="n"/>
      <c r="P26" s="78" t="n"/>
      <c r="Q26" s="78" t="n"/>
      <c r="R26" s="78" t="n"/>
      <c r="S26" s="78" t="n"/>
      <c r="T26" s="78" t="n"/>
      <c r="U26" s="78" t="n"/>
      <c r="V26" s="78" t="n"/>
      <c r="W26" s="78" t="n"/>
      <c r="X26" s="78" t="n"/>
      <c r="Y26" s="78" t="n"/>
      <c r="Z26" s="78" t="n"/>
      <c r="AA26" s="78" t="n"/>
      <c r="AB26" s="78" t="n"/>
      <c r="AC26" s="78" t="n"/>
      <c r="AD26" s="78" t="n"/>
      <c r="AE26" s="78" t="n"/>
      <c r="AF26" s="78" t="n"/>
      <c r="AG26" s="78" t="n"/>
    </row>
    <row r="27">
      <c r="S27" s="65" t="inlineStr">
        <is>
          <t>Ort</t>
        </is>
      </c>
      <c r="AB27" s="57" t="inlineStr">
        <is>
          <t>Datum</t>
        </is>
      </c>
      <c r="AC27" s="44" t="n"/>
      <c r="AD27" s="44" t="n"/>
      <c r="AE27" s="44" t="n"/>
      <c r="AF27" s="44" t="n"/>
      <c r="AG27" s="66" t="n"/>
    </row>
    <row r="28">
      <c r="S28" s="65" t="n"/>
      <c r="AG28" s="66" t="n"/>
    </row>
    <row r="29">
      <c r="S29" s="65" t="n"/>
      <c r="AG29" s="66" t="n"/>
    </row>
    <row r="30">
      <c r="S30" s="65" t="n"/>
      <c r="AG30" s="66" t="n"/>
    </row>
    <row r="31">
      <c r="S31" s="67" t="n"/>
      <c r="T31" s="77" t="n"/>
      <c r="U31" s="77" t="n"/>
      <c r="V31" s="77" t="n"/>
      <c r="W31" s="77" t="n"/>
      <c r="X31" s="77" t="n"/>
      <c r="Y31" s="77" t="n"/>
      <c r="Z31" s="77" t="n"/>
      <c r="AA31" s="77" t="n"/>
      <c r="AB31" s="77" t="n"/>
      <c r="AC31" s="77" t="n"/>
      <c r="AD31" s="77" t="n"/>
      <c r="AE31" s="77" t="n"/>
      <c r="AF31" s="77" t="n"/>
      <c r="AG31" s="68" t="n"/>
    </row>
    <row r="32">
      <c r="S32" s="55" t="inlineStr">
        <is>
          <t>Unterschrift des Arbeitnehmers</t>
        </is>
      </c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  <c r="AE32" s="44" t="n"/>
      <c r="AF32" s="44" t="n"/>
      <c r="AG32" s="54" t="n"/>
    </row>
    <row r="33">
      <c r="S33" s="65" t="n"/>
      <c r="AG33" s="66" t="n"/>
    </row>
    <row r="34">
      <c r="S34" s="67" t="n"/>
      <c r="T34" s="77" t="n"/>
      <c r="U34" s="77" t="n"/>
      <c r="V34" s="77" t="n"/>
      <c r="W34" s="77" t="n"/>
      <c r="X34" s="77" t="n"/>
      <c r="Y34" s="77" t="n"/>
      <c r="Z34" s="77" t="n"/>
      <c r="AA34" s="77" t="n"/>
      <c r="AB34" s="77" t="n"/>
      <c r="AC34" s="77" t="n"/>
      <c r="AD34" s="77" t="n"/>
      <c r="AE34" s="77" t="n"/>
      <c r="AF34" s="77" t="n"/>
      <c r="AG34" s="68" t="n"/>
    </row>
  </sheetData>
  <mergeCells count="7">
    <mergeCell ref="H3:L3"/>
    <mergeCell ref="AG12:AG13"/>
    <mergeCell ref="S23:AG23"/>
    <mergeCell ref="S32:AG32"/>
    <mergeCell ref="A8:E8"/>
    <mergeCell ref="A9:B9"/>
    <mergeCell ref="AB27:AF27"/>
  </mergeCells>
  <dataValidations count="2">
    <dataValidation sqref="D3" showDropDown="0" showInputMessage="0" showErrorMessage="0" allowBlank="0" type="whole">
      <formula1>2020</formula1>
      <formula2>2099</formula2>
    </dataValidation>
    <dataValidation sqref="E3" showDropDown="0" showInputMessage="0" showErrorMessage="0" allowBlank="0" type="whole">
      <formula1>1</formula1>
      <formula2>12</formula2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2026-09-24T07:01:22Z</dcterms:created>
  <dcterms:modified xsi:type="dcterms:W3CDTF">2026-09-24T07:01:22Z</dcterms:modified>
</cp:coreProperties>
</file>